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CULO" sheetId="1" r:id="rId1"/>
    <sheet name="PARAMETROS" sheetId="2" r:id="rId2"/>
    <sheet name="INGRESOS" sheetId="3" r:id="rId3"/>
    <sheet name="GASTOS_EMPRESA" sheetId="4" r:id="rId4"/>
    <sheet name="GASTOS_PN" sheetId="5" r:id="rId5"/>
    <sheet name="GASTOS INCURRIDOS NEGOCIO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 &quot;$&quot;* #,##0.00_ ;_ &quot;$&quot;* \-#,##0.00_ ;_ &quot;$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cols>
    <col min="1" max="1" width="52.83203125" customWidth="1"/>
    <col min="2" max="2" width="26.83203125" customWidth="1"/>
    <col min="3" max="3" width="26.83203125" customWidth="1"/>
    <col min="4" max="4" width="26.83203125" customWidth="1"/>
  </cols>
  <sheetData>
    <row r="1">
      <c r="A1" t="str">
        <v>CÁLCULO DEL IMPUESTO — EMPRESA vs. PERSONA NATURAL</v>
      </c>
    </row>
    <row r="2">
      <c r="A2" t="str">
        <v>Con los datos que usted cargó en INGRESOS, GASTOS_EMPRESA, GASTOS_PN y GASTOS INCURRIDOS NEGOCIOS</v>
      </c>
    </row>
    <row r="4">
      <c r="A4" t="str">
        <v>Concepto</v>
      </c>
      <c r="B4" t="str">
        <v>A) EMPRESA reinvirtiendo (ESCENARIO REAL)</v>
      </c>
      <c r="C4" t="str">
        <v>B) EMPRESA si algún día reparte (referencia)</v>
      </c>
      <c r="D4" t="str">
        <v>C) PASO TODO A PERSONA NATURAL</v>
      </c>
    </row>
    <row r="5">
      <c r="A5" t="str">
        <v>EL NEGOCIO</v>
      </c>
    </row>
    <row r="6">
      <c r="A6" t="str">
        <v>Ventas del negocio</v>
      </c>
      <c r="B6" s="1">
        <f>INGRESOS!B5</f>
      </c>
      <c r="C6" s="1">
        <f>INGRESOS!B5</f>
      </c>
      <c r="D6" s="1">
        <f>INGRESOS!C5</f>
      </c>
    </row>
    <row r="7">
      <c r="A7" t="str">
        <v>(-) Gastos deducibles del negocio</v>
      </c>
      <c r="B7" s="1">
        <f>SUMIF(GASTOS_EMPRESA!D6:D40,"SI",GASTOS_EMPRESA!C6:C40)</f>
      </c>
      <c r="C7" s="1">
        <f>SUMIF(GASTOS_EMPRESA!D6:D40,"SI",GASTOS_EMPRESA!C6:C40)</f>
      </c>
      <c r="D7" s="1">
        <f>SUMIF(GASTOS_EMPRESA!D6:D40,"SI",GASTOS_EMPRESA!C6:C40)-SUM('GASTOS INCURRIDOS NEGOCIOS'!B2:B20)</f>
      </c>
    </row>
    <row r="8">
      <c r="A8" t="str">
        <v>= Utilidad del negocio</v>
      </c>
      <c r="B8" s="1">
        <f>B6-B7</f>
      </c>
      <c r="C8" s="1">
        <f>C6-C7</f>
      </c>
      <c r="D8" s="1">
        <f>D6-D7</f>
      </c>
    </row>
    <row r="9">
      <c r="A9" t="str">
        <v>(-) 15% participación trabajadores</v>
      </c>
      <c r="B9" s="1">
        <f>IF(PARAMETROS!$B$6="SI",MAX(0,B8)*PARAMETROS!$B$5,0)</f>
      </c>
      <c r="C9" s="1">
        <f>IF(PARAMETROS!$B$6="SI",MAX(0,C8)*PARAMETROS!$B$5,0)</f>
      </c>
      <c r="D9" s="1">
        <f>IF(PARAMETROS!$B$6="SI",MAX(0,D8)*PARAMETROS!$B$5,0)</f>
      </c>
    </row>
    <row r="10">
      <c r="A10" t="str">
        <v>= Utilidad después de participación</v>
      </c>
      <c r="B10" s="1">
        <f>B8-B9</f>
      </c>
      <c r="C10" s="1">
        <f>C8-C9</f>
      </c>
      <c r="D10" s="1">
        <f>D8-D9</f>
      </c>
    </row>
    <row r="12">
      <c r="A12" t="str">
        <v>IMPUESTO DE LA SOCIEDAD (solo escenarios A y B)</v>
      </c>
    </row>
    <row r="13">
      <c r="A13" t="str">
        <v>Base imponible de la SAS</v>
      </c>
      <c r="B13" s="1">
        <f>MAX(0,B10)</f>
      </c>
      <c r="C13" s="1">
        <f>MAX(0,C10)</f>
      </c>
      <c r="D13">
        <v>0</v>
      </c>
    </row>
    <row r="14">
      <c r="A14" t="str">
        <v>IR sociedad</v>
      </c>
      <c r="B14" s="1">
        <f>B13*PARAMETROS!$B$4</f>
      </c>
      <c r="C14" s="1">
        <f>C13*PARAMETROS!$B$4</f>
      </c>
      <c r="D14" s="1">
        <f>D13*PARAMETROS!$B$4</f>
      </c>
    </row>
    <row r="16">
      <c r="A16" t="str">
        <v>IMPUESTO DE LA PERSONA (tabla progresiva)</v>
      </c>
    </row>
    <row r="17">
      <c r="A17" t="str">
        <v>Sueldo en relación de dependencia</v>
      </c>
      <c r="B17" s="1">
        <f>INGRESOS!B6</f>
      </c>
      <c r="C17" s="1">
        <f>INGRESOS!B6</f>
      </c>
      <c r="D17" s="1">
        <f>INGRESOS!C6</f>
      </c>
    </row>
    <row r="18">
      <c r="A18" t="str">
        <v>(+) Utilidad del negocio que le atribuyen</v>
      </c>
      <c r="B18">
        <v>0</v>
      </c>
      <c r="C18">
        <v>0</v>
      </c>
      <c r="D18" s="1">
        <f>MAX(0,D10)</f>
      </c>
    </row>
    <row r="19">
      <c r="A19" t="str">
        <v>(-) Aportes personales IESS</v>
      </c>
      <c r="B19" s="1">
        <f>PARAMETROS!$B$12</f>
      </c>
      <c r="C19" s="1">
        <f>PARAMETROS!$B$12</f>
      </c>
      <c r="D19" s="1">
        <f>PARAMETROS!$B$12</f>
      </c>
    </row>
    <row r="20">
      <c r="A20" t="str">
        <v>= Base imponible de la persona</v>
      </c>
      <c r="B20" s="1">
        <f>MAX(0,B17+B18-B19)</f>
      </c>
      <c r="C20" s="1">
        <f>MAX(0,C17+C18-C19)</f>
      </c>
      <c r="D20" s="1">
        <f>MAX(0,D17+D18-D19)</f>
      </c>
    </row>
    <row r="21">
      <c r="A21" t="str">
        <v>IR causado (tabla progresiva)</v>
      </c>
      <c r="B21" s="1">
        <f>IF(B20&lt;=0,0,INDEX(PARAMETROS!$C$29:$C$38,MATCH(B20,PARAMETROS!$A$29:$A$38,1))+(B20-INDEX(PARAMETROS!$A$29:$A$38,MATCH(B20,PARAMETROS!$A$29:$A$38,1)))*INDEX(PARAMETROS!$D$29:$D$38,MATCH(B20,PARAMETROS!$A$29:$A$38,1)))</f>
      </c>
      <c r="C21" s="1">
        <f>IF(C20&lt;=0,0,INDEX(PARAMETROS!$C$29:$C$38,MATCH(C20,PARAMETROS!$A$29:$A$38,1))+(C20-INDEX(PARAMETROS!$A$29:$A$38,MATCH(C20,PARAMETROS!$A$29:$A$38,1)))*INDEX(PARAMETROS!$D$29:$D$38,MATCH(C20,PARAMETROS!$A$29:$A$38,1)))</f>
      </c>
      <c r="D21" s="1">
        <f>IF(D20&lt;=0,0,INDEX(PARAMETROS!$C$29:$C$38,MATCH(D20,PARAMETROS!$A$29:$A$38,1))+(D20-INDEX(PARAMETROS!$A$29:$A$38,MATCH(D20,PARAMETROS!$A$29:$A$38,1)))*INDEX(PARAMETROS!$D$29:$D$38,MATCH(D20,PARAMETROS!$A$29:$A$38,1)))</f>
      </c>
    </row>
    <row r="22">
      <c r="A22" t="str">
        <v>(-) Rebaja por gastos personales</v>
      </c>
      <c r="B22" s="1">
        <f>MIN(B21,PARAMETROS!$B$25)</f>
      </c>
      <c r="C22" s="1">
        <f>MIN(C21,PARAMETROS!$B$25)</f>
      </c>
      <c r="D22" s="1">
        <f>MIN(D21,PARAMETROS!$B$25)</f>
      </c>
    </row>
    <row r="23">
      <c r="A23" t="str">
        <v>= IR de la persona</v>
      </c>
      <c r="B23" s="1">
        <f>MAX(0,B21-B22)</f>
      </c>
      <c r="C23" s="1">
        <f>MAX(0,C21-C22)</f>
      </c>
      <c r="D23" s="1">
        <f>MAX(0,D21-D22)</f>
      </c>
    </row>
    <row r="25">
      <c r="A25" t="str">
        <v>DIVIDENDOS</v>
      </c>
    </row>
    <row r="26">
      <c r="A26" t="str">
        <v>Dividendos que recibe</v>
      </c>
      <c r="B26" s="1">
        <f>INGRESOS!B7</f>
      </c>
      <c r="C26" s="1">
        <f>INGRESOS!B7</f>
      </c>
      <c r="D26" s="1">
        <f>INGRESOS!C7</f>
      </c>
    </row>
    <row r="27">
      <c r="A27" t="str">
        <v>Impuesto sobre esos dividendos</v>
      </c>
      <c r="B27">
        <v>0</v>
      </c>
      <c r="C27">
        <v>0</v>
      </c>
      <c r="D27" s="1">
        <f>MAX(0,D26-PARAMETROS!$B$8*PARAMETROS!$B$9)*PARAMETROS!$B$7</f>
      </c>
    </row>
    <row r="28">
      <c r="A28" t="str">
        <v xml:space="preserve">   (en A y B los recibe la SAS: para una sociedad los dividendos están exentos)</v>
      </c>
    </row>
    <row r="29">
      <c r="A29" t="str">
        <v>Dividendo que la SAS le reparte al dueño</v>
      </c>
      <c r="B29">
        <v>0</v>
      </c>
      <c r="C29" s="1">
        <f>MAX(0,C10-C14)+C26</f>
      </c>
      <c r="D29">
        <v>0</v>
      </c>
    </row>
    <row r="30">
      <c r="A30" t="str">
        <v>Impuesto sobre ese dividendo</v>
      </c>
      <c r="B30">
        <v>0</v>
      </c>
      <c r="C30" s="1">
        <f>MAX(0,C29-PARAMETROS!$B$8*PARAMETROS!$B$9)*PARAMETROS!$B$7</f>
      </c>
      <c r="D30">
        <v>0</v>
      </c>
    </row>
    <row r="31">
      <c r="A31" t="str">
        <v>Anticipo por utilidades no distribuidas</v>
      </c>
      <c r="B31" s="1">
        <f>PARAMETROS!$B$18</f>
      </c>
      <c r="C31">
        <v>0</v>
      </c>
      <c r="D31">
        <v>0</v>
      </c>
    </row>
    <row r="32">
      <c r="A32" t="str">
        <v xml:space="preserve">   (0% mientras las utilidades retenidas no pasen de USD 100.000)</v>
      </c>
    </row>
    <row r="34">
      <c r="A34" t="str">
        <v>RESULTADO</v>
      </c>
    </row>
    <row r="35">
      <c r="A35" t="str">
        <v>CARGA TRIBUTARIA TOTAL</v>
      </c>
      <c r="B35" s="1">
        <f>B14+B23+B27+B30+B31</f>
      </c>
      <c r="C35" s="1">
        <f>C14+C23+C27+C30+C31</f>
      </c>
      <c r="D35" s="1">
        <f>D14+D23+D27+D30+D31</f>
      </c>
    </row>
    <row r="36">
      <c r="A36" t="str">
        <v>Ingresos totales considerados</v>
      </c>
      <c r="B36" s="1">
        <f>B6+B17+B26</f>
      </c>
      <c r="C36" s="1">
        <f>C6+C17+C26</f>
      </c>
      <c r="D36" s="1">
        <f>D6+D17+D26</f>
      </c>
    </row>
    <row r="37">
      <c r="A37" t="str">
        <v>Tasa efectiva sobre esos ingresos</v>
      </c>
      <c r="B37" s="2">
        <f>IF(B36=0,0,B35/B36)</f>
      </c>
      <c r="C37" s="2">
        <f>IF(C36=0,0,C35/C36)</f>
      </c>
      <c r="D37" s="2">
        <f>IF(D36=0,0,D35/D36)</f>
      </c>
    </row>
    <row r="38">
      <c r="A38" t="str">
        <v>EFECTIVO QUE LE LLEGA AL DUEÑO EN EL AÑO</v>
      </c>
      <c r="B38" s="1">
        <f>B17-B23</f>
      </c>
      <c r="C38" s="1">
        <f>C17-C23+C29-C30</f>
      </c>
      <c r="D38" s="1">
        <f>D17+MAX(0,D10)-D23+D26-D27</f>
      </c>
    </row>
    <row r="39">
      <c r="A39" t="str">
        <v>Dinero que queda dentro de la empresa</v>
      </c>
      <c r="B39" s="1">
        <f>MAX(0,B10-B14)+B26</f>
      </c>
      <c r="C39">
        <v>0</v>
      </c>
      <c r="D39">
        <v>0</v>
      </c>
    </row>
    <row r="40">
      <c r="A40" t="str">
        <v>TOTAL PATRIMONIO DEL DUEÑO (bolsillo + empresa)</v>
      </c>
      <c r="B40" s="1">
        <f>B38+B39</f>
      </c>
      <c r="C40" s="1">
        <f>C38+C39</f>
      </c>
      <c r="D40" s="1">
        <f>D38+D39</f>
      </c>
    </row>
    <row r="42">
      <c r="A42" t="str">
        <v>CÓMO LEER ESTO</v>
      </c>
    </row>
    <row r="43">
      <c r="A43" t="str">
        <v>- A es el escenario real: la empresa reinvierte y no reparte dividendos al dueño. Es el que hay que comparar contra C.</v>
      </c>
    </row>
    <row r="44">
      <c r="A44" t="str">
        <v>- B queda solo de referencia, para ver el costo del día en que sí quiera sacar la plata de la empresa.</v>
      </c>
    </row>
    <row r="45">
      <c r="A45" t="str">
        <v>- Mientras la plata se reinvierte dentro de la SAS no paga el 12%. Es un DIFERIMIENTO: si algún día se reparte, ahí paga.</v>
      </c>
    </row>
    <row r="46">
      <c r="A46" t="str">
        <v>- En C el dueño ya no tiene la SAS: los dividendos le llegan directo y pagan 12% ya mismo, y la utilidad del negocio se suma a su sueldo en la tabla progresiva.</v>
      </c>
    </row>
    <row r="47">
      <c r="A47" t="str">
        <v>- En C se le quitan los gastos de mantener la empresa (contador, IESS, sistema contable, patentes): dejan de ser gasto, pero también dejan de ser deducibles.</v>
      </c>
    </row>
    <row r="49">
      <c r="A49" t="str">
        <v>PENDIENTE DE DEFINIR — puede cambiar el resultado</v>
      </c>
    </row>
    <row r="50">
      <c r="A50" t="str">
        <v>1) En INGRESOS el sueldo del dueño está en 0 para la empresa y en 50.159,88 para persona natural. Si ese sueldo existe en los dos casos, ponerlo también en B6.</v>
      </c>
    </row>
    <row r="51">
      <c r="A51" t="str">
        <v>2) Aportes personales IESS del dueño: hoy en 0 en PARAMETROS. Si el sueldo es en relación de dependencia, es deducible.</v>
      </c>
    </row>
    <row r="52">
      <c r="A52" t="str">
        <v>3) Tarifa de la SAS: 22% por ser micro/pequeña empresa. Revisar cada año que el beneficio siga vigente; si lo pierde, sube a 25%.</v>
      </c>
    </row>
    <row r="53">
      <c r="A53" t="str">
        <v>4) Anticipo por utilidades no distribuidas: 0% mientras las utilidades retenidas no pasen de USD 100.000. Como se reinvierten, vigilar ese techo año a año.</v>
      </c>
    </row>
  </sheetData>
  <ignoredErrors>
    <ignoredError numberStoredAsText="1" sqref="A1:D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cols>
    <col min="1" max="1" width="48.83203125" customWidth="1"/>
    <col min="2" max="2" width="16.83203125" customWidth="1"/>
    <col min="3" max="3" width="105.83203125" customWidth="1"/>
  </cols>
  <sheetData>
    <row r="1">
      <c r="A1" t="str">
        <v>PARÁMETROS DEL CÁLCULO — editar aquí y todo se recalcula</v>
      </c>
    </row>
    <row r="3">
      <c r="A3" t="str">
        <v>Parámetro</v>
      </c>
      <c r="B3" t="str">
        <v>Valor</v>
      </c>
      <c r="C3" t="str">
        <v>Nota</v>
      </c>
    </row>
    <row r="4">
      <c r="A4" t="str">
        <v>Tarifa IR sociedad (SAS)</v>
      </c>
      <c r="B4">
        <v>0.22</v>
      </c>
      <c r="C4" t="str">
        <v>Tarifa reducida por ser micro/pequeña empresa (25% general menos 3 puntos). Confirmar cada año que el beneficio siga vigente.</v>
      </c>
    </row>
    <row r="5">
      <c r="A5" t="str">
        <v>% participación trabajadores</v>
      </c>
      <c r="B5">
        <v>0.15</v>
      </c>
      <c r="C5" t="str">
        <v>15% de la utilidad del negocio, antes del IR</v>
      </c>
    </row>
    <row r="6">
      <c r="A6" t="str">
        <v>¿Aplica el 15% de trabajadores? (SI/NO)</v>
      </c>
      <c r="B6" t="str">
        <v>SI</v>
      </c>
      <c r="C6" t="str">
        <v>Aplica si hay empleados en relación de dependencia, sea empresa o persona natural</v>
      </c>
    </row>
    <row r="7">
      <c r="A7" t="str">
        <v>Tarifa impuesto a dividendos (persona natural)</v>
      </c>
      <c r="B7">
        <v>0.12</v>
      </c>
      <c r="C7" t="str">
        <v>12% del total distribuido. Si la que recibe es una sociedad: 0%</v>
      </c>
    </row>
    <row r="8">
      <c r="A8" t="str">
        <v>Exención de dividendos (en SBU)</v>
      </c>
      <c r="B8">
        <v>0</v>
      </c>
      <c r="C8" t="str">
        <v>Puesto en 0 según su indicación (12% del total). La ley exonera 3 SBU por sociedad que distribuye: si se aplica, poner 3.</v>
      </c>
    </row>
    <row r="9">
      <c r="A9" t="str">
        <v>Salario Básico Unificado</v>
      </c>
      <c r="B9">
        <v>482</v>
      </c>
      <c r="C9" t="str">
        <v>SBU 2026</v>
      </c>
    </row>
    <row r="10">
      <c r="A10" t="str">
        <v>Canasta familiar básica ene-2026</v>
      </c>
      <c r="B10">
        <v>821.8</v>
      </c>
      <c r="C10" t="str">
        <v/>
      </c>
    </row>
    <row r="11">
      <c r="A11" t="str">
        <v>% rebaja por gastos personales</v>
      </c>
      <c r="B11">
        <v>0.18</v>
      </c>
      <c r="C11" t="str">
        <v/>
      </c>
    </row>
    <row r="12">
      <c r="A12" t="str">
        <v>Aportes personales IESS del dueño (deducibles)</v>
      </c>
      <c r="B12">
        <v>0</v>
      </c>
      <c r="C12" t="str">
        <v>Si el sueldo es en relación de dependencia, aquí va el 9,45% del sueldo. Poner el valor real.</v>
      </c>
    </row>
    <row r="14">
      <c r="A14" t="str">
        <v>UTILIDADES QUE SE REINVIERTEN (no se reparten)</v>
      </c>
      <c r="B14" t="str">
        <v>Valor</v>
      </c>
      <c r="C14" t="str">
        <v>Nota</v>
      </c>
    </row>
    <row r="15">
      <c r="A15" t="str">
        <v>Utilidades acumuladas no distribuidas al 31 de julio</v>
      </c>
      <c r="B15" s="1">
        <f>MAX(0,CALCULO!B39)</f>
      </c>
      <c r="C15" t="str">
        <v>Se calcula abajo: lo que queda dentro de la SAS. Si hay utilidades de años anteriores, sumarlas aquí a mano.</v>
      </c>
    </row>
    <row r="16">
      <c r="A16" t="str">
        <v>Monto exento del anticipo</v>
      </c>
      <c r="B16">
        <v>100000</v>
      </c>
      <c r="C16" t="str">
        <v>Hasta USD 100.000 de utilidades no distribuidas la tarifa es 0%</v>
      </c>
    </row>
    <row r="17">
      <c r="A17" t="str">
        <v>Tarifa del anticipo si se pasa del monto exento</v>
      </c>
      <c r="B17">
        <v>0</v>
      </c>
      <c r="C17" t="str">
        <v>Va del 0% hasta 2,5% según el monto. Poner la tarifa que indique el contador si algún año superan el tope.</v>
      </c>
    </row>
    <row r="18">
      <c r="A18" t="str">
        <v>ANTICIPO POR UTILIDADES NO DISTRIBUIDAS</v>
      </c>
      <c r="B18" s="1">
        <f>IF(B15&lt;=B16,0,B15*B17)</f>
      </c>
      <c r="C18" t="str">
        <v>0 mientras las utilidades retenidas no pasen el monto exento</v>
      </c>
    </row>
    <row r="20">
      <c r="A20" t="str">
        <v>DATOS DEL DUEÑO (vienen de la hoja GASTOS_PN)</v>
      </c>
      <c r="B20" t="str">
        <v>Valor</v>
      </c>
      <c r="C20" t="str">
        <v>Nota</v>
      </c>
    </row>
    <row r="21">
      <c r="A21" t="str">
        <v>Cargas familiares</v>
      </c>
      <c r="B21">
        <f>GASTOS_PN!A2</f>
      </c>
      <c r="C21" t="str">
        <v>De GASTOS_PN!A2</v>
      </c>
    </row>
    <row r="22">
      <c r="A22" t="str">
        <v>Gastos personales anuales</v>
      </c>
      <c r="B22">
        <f>GASTOS_PN!B2</f>
      </c>
      <c r="C22" t="str">
        <v>De GASTOS_PN!B2</v>
      </c>
    </row>
    <row r="23">
      <c r="A23" t="str">
        <v>N° de canastas que le corresponden</v>
      </c>
      <c r="B23">
        <f>INDEX(B43:B48,MATCH(B21,A43:A48,1))</f>
      </c>
      <c r="C23" t="str">
        <v>Según la tabla de abajo</v>
      </c>
    </row>
    <row r="24">
      <c r="A24" t="str">
        <v>Tope de gasto personal</v>
      </c>
      <c r="B24">
        <f>B23*B10</f>
      </c>
      <c r="C24" t="str">
        <v>N° canastas x canasta básica</v>
      </c>
    </row>
    <row r="25">
      <c r="A25" t="str">
        <v>REBAJA APLICABLE</v>
      </c>
      <c r="B25">
        <f>MIN(B22,B24)*B11</f>
      </c>
      <c r="C25" t="str">
        <v>18% del menor entre el gasto personal y el tope</v>
      </c>
    </row>
    <row r="27">
      <c r="A27" t="str">
        <v>TABLA IMPUESTO A LA RENTA — PERSONAS NATURALES 2026</v>
      </c>
    </row>
    <row r="28">
      <c r="A28" t="str">
        <v>Fracción básica</v>
      </c>
      <c r="B28" t="str">
        <v>Exceso hasta</v>
      </c>
      <c r="C28" t="str">
        <v>Imp. fracción básica</v>
      </c>
      <c r="D28" t="str">
        <v>% excedente</v>
      </c>
    </row>
    <row r="29">
      <c r="A29">
        <v>0</v>
      </c>
      <c r="B29">
        <v>12208</v>
      </c>
      <c r="C29">
        <v>0</v>
      </c>
      <c r="D29">
        <v>0</v>
      </c>
    </row>
    <row r="30">
      <c r="A30">
        <v>12208</v>
      </c>
      <c r="B30">
        <v>15549</v>
      </c>
      <c r="C30">
        <v>0</v>
      </c>
      <c r="D30">
        <v>0.05</v>
      </c>
    </row>
    <row r="31">
      <c r="A31">
        <v>15549</v>
      </c>
      <c r="B31">
        <v>20188</v>
      </c>
      <c r="C31">
        <v>167</v>
      </c>
      <c r="D31">
        <v>0.1</v>
      </c>
    </row>
    <row r="32">
      <c r="A32">
        <v>20188</v>
      </c>
      <c r="B32">
        <v>26700</v>
      </c>
      <c r="C32">
        <v>631</v>
      </c>
      <c r="D32">
        <v>0.12</v>
      </c>
    </row>
    <row r="33">
      <c r="A33">
        <v>26700</v>
      </c>
      <c r="B33">
        <v>35136</v>
      </c>
      <c r="C33">
        <v>1412</v>
      </c>
      <c r="D33">
        <v>0.15</v>
      </c>
    </row>
    <row r="34">
      <c r="A34">
        <v>35136</v>
      </c>
      <c r="B34">
        <v>46575</v>
      </c>
      <c r="C34">
        <v>2678</v>
      </c>
      <c r="D34">
        <v>0.2</v>
      </c>
    </row>
    <row r="35">
      <c r="A35">
        <v>46575</v>
      </c>
      <c r="B35">
        <v>62005</v>
      </c>
      <c r="C35">
        <v>4965</v>
      </c>
      <c r="D35">
        <v>0.25</v>
      </c>
    </row>
    <row r="36">
      <c r="A36">
        <v>62005</v>
      </c>
      <c r="B36">
        <v>82679</v>
      </c>
      <c r="C36">
        <v>8823</v>
      </c>
      <c r="D36">
        <v>0.3</v>
      </c>
    </row>
    <row r="37">
      <c r="A37">
        <v>82679</v>
      </c>
      <c r="B37">
        <v>109956</v>
      </c>
      <c r="C37">
        <v>15025</v>
      </c>
      <c r="D37">
        <v>0.35</v>
      </c>
    </row>
    <row r="38">
      <c r="A38">
        <v>109956</v>
      </c>
      <c r="B38">
        <v>999999999</v>
      </c>
      <c r="C38">
        <v>24572</v>
      </c>
      <c r="D38">
        <v>0.37</v>
      </c>
    </row>
    <row r="39">
      <c r="A39" t="str">
        <v/>
      </c>
      <c r="B39" t="str">
        <v/>
      </c>
      <c r="C39" t="str">
        <v/>
      </c>
      <c r="D39" t="str">
        <v>Fuente: Resolución NAC-DGERCGC25-00000043 (SRI)</v>
      </c>
    </row>
    <row r="41">
      <c r="A41" t="str">
        <v>CANASTAS SEGÚN CARGAS FAMILIARES</v>
      </c>
    </row>
    <row r="42">
      <c r="A42" t="str">
        <v>Cargas</v>
      </c>
      <c r="B42" t="str">
        <v>N° canastas</v>
      </c>
      <c r="C42" t="str">
        <v>Tope de gasto</v>
      </c>
      <c r="D42" t="str">
        <v>Rebaja máxima</v>
      </c>
    </row>
    <row r="43">
      <c r="A43">
        <v>0</v>
      </c>
      <c r="B43">
        <v>7</v>
      </c>
      <c r="C43">
        <f>B43*$B$10</f>
      </c>
      <c r="D43">
        <f>C43*$B$11</f>
      </c>
    </row>
    <row r="44">
      <c r="A44">
        <v>1</v>
      </c>
      <c r="B44">
        <v>9</v>
      </c>
      <c r="C44">
        <f>B44*$B$10</f>
      </c>
      <c r="D44">
        <f>C44*$B$11</f>
      </c>
    </row>
    <row r="45">
      <c r="A45">
        <v>2</v>
      </c>
      <c r="B45">
        <v>12</v>
      </c>
      <c r="C45">
        <f>B45*$B$10</f>
      </c>
      <c r="D45">
        <f>C45*$B$11</f>
      </c>
    </row>
    <row r="46">
      <c r="A46">
        <v>3</v>
      </c>
      <c r="B46">
        <v>15</v>
      </c>
      <c r="C46">
        <f>B46*$B$10</f>
      </c>
      <c r="D46">
        <f>C46*$B$11</f>
      </c>
    </row>
    <row r="47">
      <c r="A47">
        <v>4</v>
      </c>
      <c r="B47">
        <v>17</v>
      </c>
      <c r="C47">
        <f>B47*$B$10</f>
      </c>
      <c r="D47">
        <f>C47*$B$11</f>
      </c>
    </row>
    <row r="48">
      <c r="A48">
        <v>5</v>
      </c>
      <c r="B48">
        <v>20</v>
      </c>
      <c r="C48">
        <f>B48*$B$10</f>
      </c>
      <c r="D48">
        <f>C48*$B$11</f>
      </c>
    </row>
    <row r="49">
      <c r="A49" t="str">
        <v/>
      </c>
      <c r="B49" t="str">
        <v/>
      </c>
      <c r="C49" t="str">
        <v/>
      </c>
      <c r="D49" t="str">
        <v>Confirmar con el contador el escalonamiento exacto (hay fuentes que publican 9 canastas para 2 cargas en vez de 12).</v>
      </c>
    </row>
    <row r="51">
      <c r="A51" t="str">
        <v>QUÉ ES LA "CANASTA" Y LA REBAJA POR GASTOS PERSONALES</v>
      </c>
    </row>
    <row r="52">
      <c r="A52" t="str">
        <v/>
      </c>
      <c r="B52" t="str">
        <v/>
      </c>
      <c r="C52" t="str">
        <v>La canasta familiar básica es un valor oficial que publica el INEC cada mes: lo que le cuesta a una familia tipo vivir un mes. En enero 2026 fue USD 821,80.</v>
      </c>
    </row>
    <row r="53">
      <c r="A53" t="str">
        <v/>
      </c>
      <c r="B53" t="str">
        <v/>
      </c>
      <c r="C53" t="str">
        <v>El SRI la usa solo como regla de medida: según cuántas cargas familiares tenga, le permite considerar un máximo de X canastas de gasto personal.</v>
      </c>
    </row>
    <row r="54">
      <c r="A54" t="str">
        <v/>
      </c>
      <c r="B54" t="str">
        <v/>
      </c>
      <c r="C54" t="str">
        <v>Con 2 cargas son 12 canastas = 12 x 821,80 = USD 9.861,60 de tope. Usted declaró USD 9.000 de gasto personal, que es menos que el tope, así que entra completo.</v>
      </c>
    </row>
    <row r="55">
      <c r="A55" t="str">
        <v/>
      </c>
      <c r="B55" t="str">
        <v/>
      </c>
      <c r="C55" t="str">
        <v>La rebaja NO baja el ingreso: baja el impuesto directamente. Es el 18% de esos 9.000 = USD 1.620 menos de impuesto a pagar.</v>
      </c>
    </row>
    <row r="56">
      <c r="A56" t="str">
        <v/>
      </c>
      <c r="B56" t="str">
        <v/>
      </c>
      <c r="C56" t="str">
        <v>Esto existe SOLO para persona natural. Una empresa no tiene gastos personales ni rebaja.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E8"/>
  <sheetViews>
    <sheetView workbookViewId="0"/>
  </sheetViews>
  <sheetData>
    <row r="2">
      <c r="A2" t="str">
        <v>año completo</v>
      </c>
      <c r="C2" t="str">
        <v/>
      </c>
      <c r="D2" t="str">
        <v/>
      </c>
      <c r="E2" t="str">
        <v/>
      </c>
    </row>
    <row r="4">
      <c r="A4" t="str">
        <v>Concepto</v>
      </c>
      <c r="B4" t="str">
        <v>USAR EN ESCENARIO EMPRESA</v>
      </c>
      <c r="C4" t="str">
        <v>USAR EN ESCENARIO PERSONA NATURAL</v>
      </c>
    </row>
    <row r="5">
      <c r="A5" t="str">
        <v>Ventas</v>
      </c>
      <c r="B5">
        <f>5812.86*12</f>
        <v>69754.31999999999</v>
      </c>
      <c r="C5">
        <f>B5</f>
        <v>69754.31999999999</v>
      </c>
    </row>
    <row r="6">
      <c r="A6" t="str">
        <v>Sueldos Persona</v>
      </c>
      <c r="B6">
        <v>0</v>
      </c>
      <c r="C6">
        <f>4179.99*12</f>
        <v>50159.88</v>
      </c>
    </row>
    <row r="7">
      <c r="A7" t="str">
        <v>Dividendos</v>
      </c>
      <c r="B7">
        <v>70951</v>
      </c>
      <c r="C7">
        <v>70951</v>
      </c>
    </row>
    <row r="8">
      <c r="A8" t="str">
        <v>TOTAL INGRESOS DEL NEGOCIO</v>
      </c>
      <c r="B8">
        <f>+B7+B6+B5</f>
        <v>140705.32</v>
      </c>
      <c r="C8">
        <f>+C7+C6+C5</f>
        <v>190865.2</v>
      </c>
    </row>
  </sheetData>
  <pageMargins left="0.7" right="0.7" top="0.75" bottom="0.75" header="0.3" footer="0.3"/>
  <ignoredErrors>
    <ignoredError numberStoredAsText="1" sqref="A2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GASTOS EN EL ESCENARIO EMPRESA (SAS) — año 2026</v>
      </c>
    </row>
    <row r="2">
      <c r="A2" t="str">
        <v>Precargado con los rubros reales del tablero, anualizados (8 meses x 12). Ajuste montos, agregue o borre lo que quiera.</v>
      </c>
    </row>
    <row r="3">
      <c r="A3" t="str">
        <v>Escriba un renglón por gasto, con el MONTO ANUAL. Hay filas vacías al final para agregar los que falten.</v>
      </c>
    </row>
    <row r="5">
      <c r="A5" t="str">
        <v>Rubro</v>
      </c>
      <c r="B5" t="str">
        <v>Detalle</v>
      </c>
      <c r="C5" t="str">
        <v>Monto ANUAL</v>
      </c>
      <c r="D5" t="str">
        <v>¿Deducible? (SI/NO)</v>
      </c>
      <c r="E5" t="str">
        <v>Observación / soporte</v>
      </c>
    </row>
    <row r="6">
      <c r="A6" t="str">
        <v>SUELDOS Y SALARIOS</v>
      </c>
      <c r="C6">
        <v>18000</v>
      </c>
      <c r="D6" t="str">
        <v>SI</v>
      </c>
      <c r="E6" t="str">
        <v/>
      </c>
    </row>
    <row r="7">
      <c r="A7" t="str">
        <v>ALIMENTACION VTAS</v>
      </c>
      <c r="B7" t="str">
        <v/>
      </c>
      <c r="C7">
        <v>14519.36</v>
      </c>
      <c r="D7" t="str">
        <v>SI</v>
      </c>
      <c r="E7" t="str">
        <v/>
      </c>
    </row>
    <row r="8">
      <c r="A8" t="str">
        <v>HONORARIOS CONTABLES</v>
      </c>
      <c r="B8" t="str">
        <v/>
      </c>
      <c r="C8">
        <v>4118.16</v>
      </c>
      <c r="D8" t="str">
        <v>SI</v>
      </c>
      <c r="E8" t="str">
        <v/>
      </c>
    </row>
    <row r="9">
      <c r="A9" t="str">
        <v>BENEFICIOS SOCIALES</v>
      </c>
      <c r="B9" t="str">
        <v/>
      </c>
      <c r="C9">
        <v>2436.54</v>
      </c>
      <c r="D9" t="str">
        <v>SI</v>
      </c>
      <c r="E9" t="str">
        <v/>
      </c>
    </row>
    <row r="10">
      <c r="A10" t="str">
        <v>APORTE SEGURIDAD SOCIAL</v>
      </c>
      <c r="B10" t="str">
        <v/>
      </c>
      <c r="C10">
        <v>1895.4</v>
      </c>
      <c r="D10" t="str">
        <v>SI</v>
      </c>
      <c r="E10" t="str">
        <v/>
      </c>
    </row>
    <row r="11">
      <c r="A11" t="str">
        <v>MANTENIMIENTOS</v>
      </c>
      <c r="B11" t="str">
        <v/>
      </c>
      <c r="C11">
        <v>1049.67</v>
      </c>
      <c r="D11" t="str">
        <v>SI</v>
      </c>
      <c r="E11" t="str">
        <v/>
      </c>
    </row>
    <row r="12">
      <c r="A12" t="str">
        <v>INSUMOS OFICINA</v>
      </c>
      <c r="B12" t="str">
        <v/>
      </c>
      <c r="C12">
        <v>679.64</v>
      </c>
      <c r="D12" t="str">
        <v>SI</v>
      </c>
      <c r="E12" t="str">
        <v/>
      </c>
    </row>
    <row r="13">
      <c r="A13" t="str">
        <v>MATRICULACION</v>
      </c>
      <c r="B13" t="str">
        <v/>
      </c>
      <c r="C13">
        <v>543.94</v>
      </c>
      <c r="D13" t="str">
        <v>SI</v>
      </c>
      <c r="E13" t="str">
        <v/>
      </c>
    </row>
    <row r="14">
      <c r="A14" t="str">
        <v>SISTEMA CONTABLE</v>
      </c>
      <c r="B14" t="str">
        <v/>
      </c>
      <c r="C14">
        <v>348</v>
      </c>
      <c r="D14" t="str">
        <v>SI</v>
      </c>
      <c r="E14" t="str">
        <v/>
      </c>
    </row>
    <row r="15">
      <c r="A15" t="str">
        <v>SERVICIOS BASICOS</v>
      </c>
      <c r="B15" t="str">
        <v/>
      </c>
      <c r="C15">
        <v>229.56</v>
      </c>
      <c r="D15" t="str">
        <v>SI</v>
      </c>
      <c r="E15" t="str">
        <v/>
      </c>
    </row>
    <row r="16">
      <c r="A16" t="str">
        <v>IMPUESTOS Y CONTRIBUCIONES</v>
      </c>
      <c r="B16" t="str">
        <v/>
      </c>
      <c r="C16">
        <v>104.03</v>
      </c>
      <c r="D16" t="str">
        <v>SI</v>
      </c>
      <c r="E16" t="str">
        <v/>
      </c>
    </row>
    <row r="17">
      <c r="A17" t="str">
        <v>PLANES TELEFONICOS</v>
      </c>
      <c r="B17" t="str">
        <v/>
      </c>
      <c r="C17">
        <v>80.25</v>
      </c>
      <c r="D17" t="str">
        <v>SI</v>
      </c>
      <c r="E17" t="str">
        <v/>
      </c>
    </row>
    <row r="18">
      <c r="A18" t="str">
        <v>ALIMENTACION ADM</v>
      </c>
      <c r="B18" t="str">
        <v/>
      </c>
      <c r="C18">
        <v>70.11</v>
      </c>
      <c r="D18" t="str">
        <v>SI</v>
      </c>
      <c r="E18" t="str">
        <v/>
      </c>
    </row>
    <row r="19">
      <c r="A19" t="str">
        <v>COMBUSTIBLES</v>
      </c>
      <c r="B19" t="str">
        <v/>
      </c>
      <c r="C19">
        <v>45.66</v>
      </c>
      <c r="D19" t="str">
        <v>SI</v>
      </c>
      <c r="E19" t="str">
        <v/>
      </c>
    </row>
    <row r="20">
      <c r="A20" t="str">
        <v>GASTOS BANCARIOS</v>
      </c>
      <c r="B20" t="str">
        <v/>
      </c>
      <c r="C20">
        <v>39.18</v>
      </c>
      <c r="D20" t="str">
        <v>SI</v>
      </c>
      <c r="E20" t="str">
        <v/>
      </c>
    </row>
    <row r="21">
      <c r="A21" t="str">
        <v>DEPRECIACIONES</v>
      </c>
      <c r="B21" t="str">
        <v/>
      </c>
      <c r="C21">
        <f>37.07+1667</f>
        <v>1704.07</v>
      </c>
      <c r="D21" t="str">
        <v>SI</v>
      </c>
      <c r="E21" t="str">
        <v/>
      </c>
    </row>
    <row r="22">
      <c r="A22" t="str">
        <v>OTROS</v>
      </c>
      <c r="B22" t="str">
        <v/>
      </c>
      <c r="C22">
        <v>15000</v>
      </c>
      <c r="D22" t="str">
        <v>SI</v>
      </c>
      <c r="E22" t="str">
        <v/>
      </c>
    </row>
    <row r="23">
      <c r="A23" t="str">
        <v/>
      </c>
      <c r="B23" t="str">
        <v/>
      </c>
      <c r="D23" t="str">
        <v/>
      </c>
      <c r="E23" t="str">
        <v/>
      </c>
    </row>
    <row r="24">
      <c r="A24" t="str">
        <v/>
      </c>
      <c r="B24" t="str">
        <v/>
      </c>
      <c r="E24" t="str">
        <v/>
      </c>
    </row>
    <row r="25">
      <c r="A25" t="str">
        <v/>
      </c>
      <c r="B25" t="str">
        <v/>
      </c>
      <c r="D25" t="str">
        <v/>
      </c>
      <c r="E25" t="str">
        <v/>
      </c>
    </row>
    <row r="26">
      <c r="A26" t="str">
        <v/>
      </c>
      <c r="B26" t="str">
        <v/>
      </c>
      <c r="D26" t="str">
        <v/>
      </c>
      <c r="E26" t="str">
        <v/>
      </c>
    </row>
    <row r="27">
      <c r="A27" t="str">
        <v/>
      </c>
      <c r="B27" t="str">
        <v/>
      </c>
      <c r="D27" t="str">
        <v/>
      </c>
      <c r="E27" t="str">
        <v/>
      </c>
    </row>
    <row r="28">
      <c r="A28" t="str">
        <v/>
      </c>
      <c r="B28" t="str">
        <v/>
      </c>
      <c r="D28" t="str">
        <v/>
      </c>
      <c r="E28" t="str">
        <v/>
      </c>
    </row>
    <row r="29">
      <c r="A29" t="str">
        <v/>
      </c>
      <c r="B29" t="str">
        <v/>
      </c>
      <c r="D29" t="str">
        <v/>
      </c>
      <c r="E29" t="str">
        <v/>
      </c>
    </row>
    <row r="30">
      <c r="A30" t="str">
        <v/>
      </c>
      <c r="B30" t="str">
        <v/>
      </c>
      <c r="D30" t="str">
        <v/>
      </c>
      <c r="E30" t="str">
        <v/>
      </c>
    </row>
    <row r="31">
      <c r="A31" t="str">
        <v/>
      </c>
      <c r="B31" t="str">
        <v/>
      </c>
      <c r="D31" t="str">
        <v/>
      </c>
      <c r="E31" t="str">
        <v/>
      </c>
    </row>
    <row r="32">
      <c r="A32" t="str">
        <v/>
      </c>
      <c r="B32" t="str">
        <v/>
      </c>
      <c r="D32" t="str">
        <v/>
      </c>
      <c r="E32" t="str">
        <v/>
      </c>
    </row>
    <row r="33">
      <c r="A33" t="str">
        <v/>
      </c>
      <c r="B33" t="str">
        <v/>
      </c>
      <c r="D33" t="str">
        <v/>
      </c>
      <c r="E33" t="str">
        <v/>
      </c>
    </row>
    <row r="34">
      <c r="A34" t="str">
        <v/>
      </c>
      <c r="B34" t="str">
        <v/>
      </c>
      <c r="D34" t="str">
        <v/>
      </c>
      <c r="E34" t="str">
        <v/>
      </c>
    </row>
    <row r="35">
      <c r="A35" t="str">
        <v/>
      </c>
      <c r="B35" t="str">
        <v/>
      </c>
      <c r="D35" t="str">
        <v/>
      </c>
      <c r="E35" t="str">
        <v/>
      </c>
    </row>
    <row r="36">
      <c r="A36" t="str">
        <v/>
      </c>
      <c r="B36" t="str">
        <v/>
      </c>
      <c r="D36" t="str">
        <v/>
      </c>
      <c r="E36" t="str">
        <v/>
      </c>
    </row>
    <row r="37">
      <c r="A37" t="str">
        <v/>
      </c>
      <c r="B37" t="str">
        <v/>
      </c>
      <c r="D37" t="str">
        <v/>
      </c>
      <c r="E37" t="str">
        <v/>
      </c>
    </row>
    <row r="38">
      <c r="A38" t="str">
        <v/>
      </c>
      <c r="B38" t="str">
        <v/>
      </c>
      <c r="D38" t="str">
        <v/>
      </c>
      <c r="E38" t="str">
        <v/>
      </c>
    </row>
    <row r="39">
      <c r="A39" t="str">
        <v/>
      </c>
      <c r="B39" t="str">
        <v/>
      </c>
      <c r="D39" t="str">
        <v/>
      </c>
      <c r="E39" t="str">
        <v/>
      </c>
    </row>
    <row r="40">
      <c r="A40" t="str">
        <v/>
      </c>
      <c r="B40" t="str">
        <v/>
      </c>
      <c r="D40" t="str">
        <v/>
      </c>
      <c r="E40" t="str">
        <v/>
      </c>
    </row>
  </sheetData>
  <pageMargins left="0.7" right="0.7" top="0.75" bottom="0.75" header="0.3" footer="0.3"/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# CARGAS FAMILIARES</v>
      </c>
      <c r="B1" t="str">
        <v>VALOR TOTAL GASTOS</v>
      </c>
    </row>
    <row r="2">
      <c r="A2">
        <v>2</v>
      </c>
      <c r="B2">
        <v>10000</v>
      </c>
    </row>
  </sheetData>
  <pageMargins left="0.7" right="0.7" top="0.75" bottom="0.75" header="0.3" footer="0.3"/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DETALLE</v>
      </c>
      <c r="B1" t="str">
        <v>VALOR ANUAL</v>
      </c>
    </row>
    <row r="2">
      <c r="A2" t="str">
        <v>CONTADOR</v>
      </c>
      <c r="B2">
        <f>200*12</f>
        <v>2400</v>
      </c>
    </row>
    <row r="3">
      <c r="A3" t="str">
        <v>IESS</v>
      </c>
      <c r="B3">
        <f>280.8*12</f>
        <v>3369.6000000000004</v>
      </c>
    </row>
    <row r="4">
      <c r="A4" t="str">
        <v>SISTEMA CONTABLE</v>
      </c>
      <c r="B4">
        <f>29*12</f>
        <v>348</v>
      </c>
    </row>
    <row r="5">
      <c r="A5" t="str">
        <v>PATENTES</v>
      </c>
      <c r="B5">
        <v>70</v>
      </c>
    </row>
  </sheetData>
  <pageMargins left="0.7" right="0.7" top="0.75" bottom="0.75" header="0.3" footer="0.3"/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CALCULO</vt:lpstr>
      <vt:lpstr>PARAMETROS</vt:lpstr>
      <vt:lpstr>INGRESOS</vt:lpstr>
      <vt:lpstr>GASTOS_EMPRESA</vt:lpstr>
      <vt:lpstr>GASTOS_PN</vt:lpstr>
      <vt:lpstr>GASTOS INCURRIDOS NEGOCIOS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